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11E8355-9854-4894-B001-355089DAFD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PLANILHA2" sheetId="2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6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33" i="1"/>
  <c r="D26" i="1"/>
  <c r="D27" i="1"/>
  <c r="D28" i="1"/>
  <c r="D25" i="1"/>
  <c r="E26" i="1"/>
  <c r="E27" i="1"/>
  <c r="E28" i="1"/>
  <c r="E25" i="1"/>
  <c r="C26" i="1"/>
  <c r="C27" i="1"/>
  <c r="C28" i="1"/>
  <c r="C25" i="1"/>
  <c r="D14" i="1"/>
  <c r="D20" i="1"/>
  <c r="D21" i="1"/>
  <c r="D36" i="1" l="1"/>
  <c r="D41" i="1"/>
  <c r="D40" i="1"/>
  <c r="D39" i="1"/>
  <c r="D38" i="1"/>
  <c r="D37" i="1"/>
</calcChain>
</file>

<file path=xl/sharedStrings.xml><?xml version="1.0" encoding="utf-8"?>
<sst xmlns="http://schemas.openxmlformats.org/spreadsheetml/2006/main" count="70" uniqueCount="32">
  <si>
    <t>CONFIGURAÇÕES</t>
  </si>
  <si>
    <t>Salário mensal</t>
  </si>
  <si>
    <t xml:space="preserve">Rendimento médio da Carteira </t>
  </si>
  <si>
    <t>Sugestão de investimento (30%)</t>
  </si>
  <si>
    <t>INVESTIMENTO MENSAL</t>
  </si>
  <si>
    <t>Aporte mensal</t>
  </si>
  <si>
    <t>Prazo (anos)</t>
  </si>
  <si>
    <t>Taxa mensal</t>
  </si>
  <si>
    <t>Patrimônio acumulado</t>
  </si>
  <si>
    <t>Dividendos mensais</t>
  </si>
  <si>
    <t xml:space="preserve"> Cenários</t>
  </si>
  <si>
    <t>Anos</t>
  </si>
  <si>
    <t>Patrimônio</t>
  </si>
  <si>
    <t>Dividendos/mês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</si>
  <si>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</si>
  <si>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</si>
  <si>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</si>
  <si>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</si>
  <si>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</si>
  <si>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</si>
  <si>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</si>
  <si>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</si>
  <si>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</si>
  <si>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</si>
  <si>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</si>
  <si>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</si>
  <si>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</si>
  <si>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</si>
  <si>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</si>
  <si>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</si>
  <si>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</si>
  <si>
    <t>=PROCV($C$32&amp;"-"&amp;B37,PERFIS!'PERFIS '!$A:$D,4,FALSO)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</si>
</sst>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Segoe UI Semibold"/>
      <family val="2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Gadugi"/>
    </font>
    <font>
      <b/>
      <u/>
      <sz val="18"/>
      <color theme="0"/>
      <name val="Gadugi"/>
    </font>
    <font>
      <b/>
      <sz val="20"/>
      <color theme="0"/>
      <name val="Gadugi"/>
    </font>
    <font>
      <sz val="11"/>
      <color theme="0"/>
      <name val="Gadugi"/>
    </font>
    <font>
      <b/>
      <sz val="11"/>
      <color theme="1"/>
      <name val="Gadugi"/>
    </font>
    <font>
      <b/>
      <sz val="11"/>
      <color theme="0"/>
      <name val="Gadugi"/>
    </font>
    <font>
      <b/>
      <sz val="11"/>
      <color theme="2" tint="-0.749992370372631"/>
      <name val="Gadugi"/>
    </font>
  </fonts>
  <fills count="2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77">
    <xf numFmtId="0" fontId="0" fillId="0" borderId="0" xfId="0"/>
    <xf numFmtId="164" fontId="0" fillId="0" borderId="0" xfId="0" applyNumberFormat="1"/>
    <xf numFmtId="9" fontId="0" fillId="0" borderId="0" xfId="0" applyNumberFormat="1"/>
    <xf numFmtId="0" fontId="4" fillId="4" borderId="0" xfId="0" applyFont="1" applyFill="1" applyBorder="1" applyAlignment="1">
      <alignment vertical="center"/>
    </xf>
    <xf numFmtId="0" fontId="2" fillId="2" borderId="0" xfId="2"/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9" fontId="6" fillId="2" borderId="0" xfId="1" applyFont="1" applyFill="1"/>
    <xf numFmtId="0" fontId="3" fillId="0" borderId="0" xfId="3"/>
    <xf numFmtId="0" fontId="7" fillId="8" borderId="9" xfId="0" applyFont="1" applyFill="1" applyBorder="1" applyAlignment="1">
      <alignment horizontal="left" vertical="top"/>
    </xf>
    <xf numFmtId="164" fontId="7" fillId="8" borderId="10" xfId="0" applyNumberFormat="1" applyFont="1" applyFill="1" applyBorder="1" applyAlignment="1">
      <alignment horizontal="right" vertical="top"/>
    </xf>
    <xf numFmtId="0" fontId="7" fillId="4" borderId="11" xfId="0" applyFont="1" applyFill="1" applyBorder="1" applyAlignment="1">
      <alignment horizontal="left" vertical="top"/>
    </xf>
    <xf numFmtId="10" fontId="7" fillId="4" borderId="12" xfId="0" applyNumberFormat="1" applyFont="1" applyFill="1" applyBorder="1" applyAlignment="1">
      <alignment horizontal="right" vertical="top"/>
    </xf>
    <xf numFmtId="0" fontId="7" fillId="8" borderId="13" xfId="0" applyFont="1" applyFill="1" applyBorder="1" applyAlignment="1">
      <alignment horizontal="left" vertical="top"/>
    </xf>
    <xf numFmtId="164" fontId="7" fillId="8" borderId="14" xfId="0" applyNumberFormat="1" applyFont="1" applyFill="1" applyBorder="1" applyAlignment="1">
      <alignment horizontal="right" vertical="top"/>
    </xf>
    <xf numFmtId="0" fontId="8" fillId="9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164" fontId="7" fillId="0" borderId="0" xfId="0" applyNumberFormat="1" applyFont="1"/>
    <xf numFmtId="0" fontId="7" fillId="0" borderId="11" xfId="0" applyFont="1" applyBorder="1"/>
    <xf numFmtId="1" fontId="7" fillId="0" borderId="12" xfId="0" applyNumberFormat="1" applyFont="1" applyBorder="1"/>
    <xf numFmtId="164" fontId="7" fillId="0" borderId="12" xfId="0" applyNumberFormat="1" applyFont="1" applyBorder="1" applyAlignment="1">
      <alignment wrapText="1"/>
    </xf>
    <xf numFmtId="0" fontId="7" fillId="10" borderId="9" xfId="0" applyFont="1" applyFill="1" applyBorder="1"/>
    <xf numFmtId="164" fontId="7" fillId="10" borderId="10" xfId="0" applyNumberFormat="1" applyFont="1" applyFill="1" applyBorder="1"/>
    <xf numFmtId="0" fontId="7" fillId="10" borderId="11" xfId="0" applyFont="1" applyFill="1" applyBorder="1"/>
    <xf numFmtId="10" fontId="7" fillId="10" borderId="12" xfId="0" applyNumberFormat="1" applyFont="1" applyFill="1" applyBorder="1" applyAlignment="1">
      <alignment horizontal="right"/>
    </xf>
    <xf numFmtId="0" fontId="7" fillId="10" borderId="13" xfId="0" applyFont="1" applyFill="1" applyBorder="1"/>
    <xf numFmtId="164" fontId="7" fillId="10" borderId="14" xfId="0" applyNumberFormat="1" applyFont="1" applyFill="1" applyBorder="1"/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164" fontId="0" fillId="0" borderId="15" xfId="0" applyNumberFormat="1" applyBorder="1"/>
    <xf numFmtId="164" fontId="0" fillId="0" borderId="15" xfId="0" applyNumberFormat="1" applyBorder="1" applyAlignment="1">
      <alignment wrapText="1"/>
    </xf>
    <xf numFmtId="164" fontId="0" fillId="0" borderId="12" xfId="0" applyNumberFormat="1" applyBorder="1"/>
    <xf numFmtId="1" fontId="0" fillId="0" borderId="11" xfId="0" applyNumberFormat="1" applyBorder="1"/>
    <xf numFmtId="0" fontId="11" fillId="5" borderId="0" xfId="0" applyFont="1" applyFill="1"/>
    <xf numFmtId="0" fontId="12" fillId="13" borderId="0" xfId="2" applyFont="1" applyFill="1"/>
    <xf numFmtId="0" fontId="10" fillId="13" borderId="0" xfId="0" applyFont="1" applyFill="1"/>
    <xf numFmtId="0" fontId="0" fillId="14" borderId="11" xfId="0" applyFill="1" applyBorder="1"/>
    <xf numFmtId="0" fontId="0" fillId="14" borderId="19" xfId="0" applyFill="1" applyBorder="1"/>
    <xf numFmtId="0" fontId="0" fillId="14" borderId="10" xfId="0" applyFill="1" applyBorder="1"/>
    <xf numFmtId="1" fontId="0" fillId="14" borderId="11" xfId="0" applyNumberFormat="1" applyFill="1" applyBorder="1"/>
    <xf numFmtId="164" fontId="0" fillId="14" borderId="15" xfId="0" applyNumberFormat="1" applyFill="1" applyBorder="1"/>
    <xf numFmtId="164" fontId="0" fillId="14" borderId="15" xfId="0" applyNumberFormat="1" applyFill="1" applyBorder="1" applyAlignment="1">
      <alignment wrapText="1"/>
    </xf>
    <xf numFmtId="164" fontId="0" fillId="14" borderId="12" xfId="0" applyNumberFormat="1" applyFill="1" applyBorder="1"/>
    <xf numFmtId="1" fontId="0" fillId="14" borderId="13" xfId="0" applyNumberFormat="1" applyFill="1" applyBorder="1"/>
    <xf numFmtId="164" fontId="0" fillId="14" borderId="18" xfId="0" applyNumberFormat="1" applyFill="1" applyBorder="1"/>
    <xf numFmtId="164" fontId="0" fillId="14" borderId="18" xfId="0" applyNumberFormat="1" applyFill="1" applyBorder="1" applyAlignment="1">
      <alignment wrapText="1"/>
    </xf>
    <xf numFmtId="164" fontId="0" fillId="14" borderId="14" xfId="0" applyNumberFormat="1" applyFill="1" applyBorder="1"/>
    <xf numFmtId="0" fontId="11" fillId="6" borderId="0" xfId="0" applyFont="1" applyFill="1" applyAlignment="1">
      <alignment horizontal="center"/>
    </xf>
    <xf numFmtId="0" fontId="12" fillId="11" borderId="20" xfId="0" applyFont="1" applyFill="1" applyBorder="1"/>
    <xf numFmtId="0" fontId="12" fillId="15" borderId="16" xfId="0" applyFont="1" applyFill="1" applyBorder="1"/>
    <xf numFmtId="0" fontId="12" fillId="16" borderId="16" xfId="0" applyFont="1" applyFill="1" applyBorder="1"/>
    <xf numFmtId="0" fontId="12" fillId="12" borderId="16" xfId="0" applyFont="1" applyFill="1" applyBorder="1"/>
    <xf numFmtId="0" fontId="12" fillId="17" borderId="16" xfId="0" applyFont="1" applyFill="1" applyBorder="1"/>
    <xf numFmtId="0" fontId="12" fillId="18" borderId="23" xfId="0" applyFont="1" applyFill="1" applyBorder="1"/>
    <xf numFmtId="0" fontId="13" fillId="10" borderId="17" xfId="0" applyFont="1" applyFill="1" applyBorder="1" applyAlignment="1">
      <alignment wrapText="1"/>
    </xf>
    <xf numFmtId="164" fontId="13" fillId="10" borderId="21" xfId="0" applyNumberFormat="1" applyFont="1" applyFill="1" applyBorder="1"/>
    <xf numFmtId="0" fontId="13" fillId="19" borderId="15" xfId="0" applyFont="1" applyFill="1" applyBorder="1" applyAlignment="1">
      <alignment wrapText="1"/>
    </xf>
    <xf numFmtId="164" fontId="13" fillId="19" borderId="22" xfId="0" applyNumberFormat="1" applyFont="1" applyFill="1" applyBorder="1"/>
    <xf numFmtId="0" fontId="13" fillId="20" borderId="15" xfId="0" applyFont="1" applyFill="1" applyBorder="1" applyAlignment="1">
      <alignment wrapText="1"/>
    </xf>
    <xf numFmtId="164" fontId="13" fillId="20" borderId="22" xfId="0" applyNumberFormat="1" applyFont="1" applyFill="1" applyBorder="1"/>
    <xf numFmtId="0" fontId="13" fillId="14" borderId="15" xfId="0" applyFont="1" applyFill="1" applyBorder="1" applyAlignment="1">
      <alignment wrapText="1"/>
    </xf>
    <xf numFmtId="164" fontId="13" fillId="14" borderId="22" xfId="0" applyNumberFormat="1" applyFont="1" applyFill="1" applyBorder="1"/>
    <xf numFmtId="0" fontId="13" fillId="21" borderId="15" xfId="0" applyFont="1" applyFill="1" applyBorder="1" applyAlignment="1">
      <alignment wrapText="1"/>
    </xf>
    <xf numFmtId="164" fontId="13" fillId="21" borderId="22" xfId="0" applyNumberFormat="1" applyFont="1" applyFill="1" applyBorder="1"/>
    <xf numFmtId="0" fontId="13" fillId="8" borderId="24" xfId="0" applyFont="1" applyFill="1" applyBorder="1" applyAlignment="1">
      <alignment wrapText="1"/>
    </xf>
    <xf numFmtId="164" fontId="13" fillId="8" borderId="25" xfId="0" applyNumberFormat="1" applyFont="1" applyFill="1" applyBorder="1"/>
  </cellXfs>
  <cellStyles count="4">
    <cellStyle name="Hyperlink" xfId="3" xr:uid="{00000000-000B-0000-0000-000008000000}"/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Medium9"/>
  <colors>
    <mruColors>
      <color rgb="FF70AD47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General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6B-45F4-8ACB-70DAA3A187F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APP!$D$36:$D$41</c:f>
              <c:numCache>
                <c:formatCode>[$R$-416]\ #,##0.00</c:formatCode>
                <c:ptCount val="6"/>
                <c:pt idx="0">
                  <c:v>350.40000000000003</c:v>
                </c:pt>
                <c:pt idx="1">
                  <c:v>383.25</c:v>
                </c:pt>
                <c:pt idx="2">
                  <c:v>87.600000000000009</c:v>
                </c:pt>
                <c:pt idx="3">
                  <c:v>54.75</c:v>
                </c:pt>
                <c:pt idx="4">
                  <c:v>109.5</c:v>
                </c:pt>
                <c:pt idx="5">
                  <c:v>109.5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6B-45F4-8ACB-70DAA3A18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E7E6E6"/>
        </a:solidFill>
        <a:ln>
          <a:solidFill>
            <a:srgbClr val="FFC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42</xdr:row>
      <xdr:rowOff>123825</xdr:rowOff>
    </xdr:from>
    <xdr:to>
      <xdr:col>3</xdr:col>
      <xdr:colOff>2324100</xdr:colOff>
      <xdr:row>68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D511E1C-5BB8-F713-2C67-C62F541E8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RFI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1:E44"/>
  <sheetViews>
    <sheetView tabSelected="1" workbookViewId="0">
      <selection activeCell="I19" sqref="I19"/>
    </sheetView>
  </sheetViews>
  <sheetFormatPr defaultRowHeight="15"/>
  <cols>
    <col min="2" max="2" width="36.140625" customWidth="1"/>
    <col min="3" max="3" width="50.7109375" customWidth="1"/>
    <col min="4" max="4" width="37" customWidth="1"/>
    <col min="5" max="5" width="15" customWidth="1"/>
  </cols>
  <sheetData>
    <row r="11" spans="3:5" ht="23.25">
      <c r="C11" s="23" t="s">
        <v>0</v>
      </c>
      <c r="D11" s="24"/>
    </row>
    <row r="12" spans="3:5">
      <c r="C12" s="17" t="s">
        <v>1</v>
      </c>
      <c r="D12" s="18">
        <v>3650</v>
      </c>
    </row>
    <row r="13" spans="3:5">
      <c r="C13" s="19" t="s">
        <v>2</v>
      </c>
      <c r="D13" s="20">
        <v>8.0000000000000002E-3</v>
      </c>
    </row>
    <row r="14" spans="3:5">
      <c r="C14" s="21" t="s">
        <v>3</v>
      </c>
      <c r="D14" s="22">
        <f>D12*30</f>
        <v>109500</v>
      </c>
    </row>
    <row r="16" spans="3:5" ht="30.75">
      <c r="C16" s="35" t="s">
        <v>4</v>
      </c>
      <c r="D16" s="36"/>
      <c r="E16" s="3"/>
    </row>
    <row r="17" spans="2:5">
      <c r="C17" s="29" t="s">
        <v>5</v>
      </c>
      <c r="D17" s="30">
        <v>1095</v>
      </c>
    </row>
    <row r="18" spans="2:5">
      <c r="C18" s="26" t="s">
        <v>6</v>
      </c>
      <c r="D18" s="27">
        <v>6</v>
      </c>
    </row>
    <row r="19" spans="2:5">
      <c r="C19" s="31" t="s">
        <v>7</v>
      </c>
      <c r="D19" s="32">
        <v>8.0000000000000002E-3</v>
      </c>
    </row>
    <row r="20" spans="2:5">
      <c r="C20" s="26" t="s">
        <v>8</v>
      </c>
      <c r="D20" s="28">
        <f>FV(D19,D18*12,D17*-1)</f>
        <v>106055.72376570944</v>
      </c>
    </row>
    <row r="21" spans="2:5">
      <c r="C21" s="33" t="s">
        <v>9</v>
      </c>
      <c r="D21" s="34">
        <f>D20*D13</f>
        <v>848.44579012567556</v>
      </c>
    </row>
    <row r="23" spans="2:5" ht="30.75">
      <c r="B23" s="37" t="s">
        <v>10</v>
      </c>
      <c r="C23" s="38"/>
      <c r="D23" s="38"/>
      <c r="E23" s="39"/>
    </row>
    <row r="24" spans="2:5">
      <c r="B24" s="47" t="s">
        <v>11</v>
      </c>
      <c r="C24" s="48" t="s">
        <v>5</v>
      </c>
      <c r="D24" s="48" t="s">
        <v>12</v>
      </c>
      <c r="E24" s="49" t="s">
        <v>13</v>
      </c>
    </row>
    <row r="25" spans="2:5" ht="16.5" customHeight="1">
      <c r="B25" s="43">
        <v>2</v>
      </c>
      <c r="C25" s="40">
        <f>$D$17</f>
        <v>1095</v>
      </c>
      <c r="D25" s="41">
        <f>FV($D$19,B25*12,$D$17*-1)</f>
        <v>28845.754846675922</v>
      </c>
      <c r="E25" s="42">
        <f>D25*$D$13</f>
        <v>230.76603877340739</v>
      </c>
    </row>
    <row r="26" spans="2:5">
      <c r="B26" s="50">
        <v>5</v>
      </c>
      <c r="C26" s="51">
        <f t="shared" ref="C26:C28" si="0">$D$17</f>
        <v>1095</v>
      </c>
      <c r="D26" s="52">
        <f t="shared" ref="D26:D28" si="1">FV($D$19,B26*12,$D$17*-1)</f>
        <v>83903.134180908848</v>
      </c>
      <c r="E26" s="53">
        <f t="shared" ref="E26:E28" si="2">D26*$D$13</f>
        <v>671.2250734472708</v>
      </c>
    </row>
    <row r="27" spans="2:5">
      <c r="B27" s="43">
        <v>10</v>
      </c>
      <c r="C27" s="40">
        <f t="shared" si="0"/>
        <v>1095</v>
      </c>
      <c r="D27" s="41">
        <f t="shared" si="1"/>
        <v>219238.12900386035</v>
      </c>
      <c r="E27" s="42">
        <f t="shared" si="2"/>
        <v>1753.9050320308829</v>
      </c>
    </row>
    <row r="28" spans="2:5">
      <c r="B28" s="54">
        <v>20</v>
      </c>
      <c r="C28" s="55">
        <f t="shared" si="0"/>
        <v>1095</v>
      </c>
      <c r="D28" s="56">
        <f t="shared" si="1"/>
        <v>789638.68510626559</v>
      </c>
      <c r="E28" s="57">
        <f t="shared" si="2"/>
        <v>6317.1094808501248</v>
      </c>
    </row>
    <row r="32" spans="2:5" ht="16.5" customHeight="1">
      <c r="B32" s="45" t="s">
        <v>14</v>
      </c>
      <c r="C32" s="46" t="s">
        <v>15</v>
      </c>
    </row>
    <row r="33" spans="2:5">
      <c r="B33" s="44" t="s">
        <v>16</v>
      </c>
      <c r="C33" s="25">
        <f>D17</f>
        <v>1095</v>
      </c>
    </row>
    <row r="35" spans="2:5">
      <c r="B35" s="58" t="s">
        <v>17</v>
      </c>
      <c r="C35" s="58" t="s">
        <v>18</v>
      </c>
      <c r="D35" s="58" t="s">
        <v>19</v>
      </c>
    </row>
    <row r="36" spans="2:5">
      <c r="B36" s="59" t="s">
        <v>20</v>
      </c>
      <c r="C36" s="65">
        <f>VLOOKUP($C$32&amp;"-"&amp;B36,PLANILHA2!$A:$D,4,FALSE)</f>
        <v>0.32</v>
      </c>
      <c r="D36" s="66">
        <f>C36*$C$33</f>
        <v>350.40000000000003</v>
      </c>
    </row>
    <row r="37" spans="2:5">
      <c r="B37" s="60" t="s">
        <v>21</v>
      </c>
      <c r="C37" s="67">
        <f>VLOOKUP($C$32&amp;"-"&amp;B37,PLANILHA2!$A:$D,4,FALSE)</f>
        <v>0.35</v>
      </c>
      <c r="D37" s="68">
        <f t="shared" ref="D37:D41" si="3">C37*$C$33</f>
        <v>383.25</v>
      </c>
    </row>
    <row r="38" spans="2:5">
      <c r="B38" s="61" t="s">
        <v>22</v>
      </c>
      <c r="C38" s="69">
        <f>VLOOKUP($C$32&amp;"-"&amp;B38,PLANILHA2!$A:$D,4,FALSE)</f>
        <v>0.08</v>
      </c>
      <c r="D38" s="70">
        <f t="shared" si="3"/>
        <v>87.600000000000009</v>
      </c>
    </row>
    <row r="39" spans="2:5">
      <c r="B39" s="62" t="s">
        <v>23</v>
      </c>
      <c r="C39" s="71">
        <f>VLOOKUP($C$32&amp;"-"&amp;B39,PLANILHA2!$A:$D,4,FALSE)</f>
        <v>0.05</v>
      </c>
      <c r="D39" s="72">
        <f t="shared" si="3"/>
        <v>54.75</v>
      </c>
      <c r="E39" s="1"/>
    </row>
    <row r="40" spans="2:5">
      <c r="B40" s="63" t="s">
        <v>24</v>
      </c>
      <c r="C40" s="73">
        <f>VLOOKUP($C$32&amp;"-"&amp;B40,PLANILHA2!$A:$D,4,FALSE)</f>
        <v>0.1</v>
      </c>
      <c r="D40" s="74">
        <f t="shared" si="3"/>
        <v>109.5</v>
      </c>
    </row>
    <row r="41" spans="2:5">
      <c r="B41" s="64" t="s">
        <v>25</v>
      </c>
      <c r="C41" s="75">
        <f>VLOOKUP($C$32&amp;"-"&amp;B41,PLANILHA2!$A:$D,4,FALSE)</f>
        <v>0.1</v>
      </c>
      <c r="D41" s="76">
        <f t="shared" si="3"/>
        <v>109.5</v>
      </c>
    </row>
    <row r="44" spans="2:5">
      <c r="D44" s="16"/>
    </row>
  </sheetData>
  <mergeCells count="3">
    <mergeCell ref="C11:D11"/>
    <mergeCell ref="C16:D16"/>
    <mergeCell ref="B23:E23"/>
  </mergeCells>
  <dataValidations count="1">
    <dataValidation type="list" allowBlank="1" showInputMessage="1" showErrorMessage="1" sqref="C32:D32" xr:uid="{918B6DD0-49A3-4066-AFC6-AD6568DE02CD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681A-28CB-459F-8A64-DF8B00289D6A}">
  <dimension ref="A2:I38"/>
  <sheetViews>
    <sheetView workbookViewId="0">
      <selection activeCell="A3" sqref="A3"/>
    </sheetView>
  </sheetViews>
  <sheetFormatPr defaultRowHeight="15"/>
  <cols>
    <col min="1" max="1" width="31.28515625" bestFit="1" customWidth="1"/>
    <col min="2" max="2" width="12.7109375" customWidth="1"/>
    <col min="3" max="3" width="22.5703125" customWidth="1"/>
    <col min="4" max="4" width="13.42578125" customWidth="1"/>
    <col min="5" max="5" width="28.85546875" bestFit="1" customWidth="1"/>
    <col min="7" max="7" width="17.7109375" customWidth="1"/>
  </cols>
  <sheetData>
    <row r="2" spans="1:9">
      <c r="A2" s="5" t="s">
        <v>26</v>
      </c>
      <c r="B2" s="5" t="s">
        <v>14</v>
      </c>
      <c r="C2" s="6" t="s">
        <v>17</v>
      </c>
      <c r="D2" s="6" t="s">
        <v>27</v>
      </c>
    </row>
    <row r="3" spans="1:9">
      <c r="A3" t="str">
        <f>B3&amp;"-"&amp;C3</f>
        <v>Conservador-PAPEL</v>
      </c>
      <c r="B3" t="s">
        <v>28</v>
      </c>
      <c r="C3" s="7" t="s">
        <v>20</v>
      </c>
      <c r="D3" s="8">
        <v>0.3</v>
      </c>
    </row>
    <row r="4" spans="1:9">
      <c r="A4" t="str">
        <f t="shared" ref="A4:A20" si="0">B4&amp;"-"&amp;C4</f>
        <v>Conservador-TIJOLO</v>
      </c>
      <c r="B4" t="s">
        <v>28</v>
      </c>
      <c r="C4" s="7" t="s">
        <v>21</v>
      </c>
      <c r="D4" s="8">
        <v>0.5</v>
      </c>
    </row>
    <row r="5" spans="1:9">
      <c r="A5" t="str">
        <f t="shared" si="0"/>
        <v>Conservador-HÍBRIDOS</v>
      </c>
      <c r="B5" t="s">
        <v>28</v>
      </c>
      <c r="C5" s="7" t="s">
        <v>22</v>
      </c>
      <c r="D5" s="8">
        <v>0.1</v>
      </c>
      <c r="H5" t="s">
        <v>27</v>
      </c>
    </row>
    <row r="6" spans="1:9">
      <c r="A6" t="str">
        <f t="shared" si="0"/>
        <v>Conservador-FOFs</v>
      </c>
      <c r="B6" t="s">
        <v>28</v>
      </c>
      <c r="C6" s="7" t="s">
        <v>23</v>
      </c>
      <c r="D6" s="8">
        <v>0.1</v>
      </c>
      <c r="G6" s="4" t="s">
        <v>29</v>
      </c>
      <c r="H6" s="15">
        <f>VLOOKUP(G6,$A:$D,4,FALSE)</f>
        <v>0.35</v>
      </c>
    </row>
    <row r="7" spans="1:9">
      <c r="A7" t="str">
        <f t="shared" si="0"/>
        <v>Conservador-DESENVOLVIMENTO</v>
      </c>
      <c r="B7" t="s">
        <v>28</v>
      </c>
      <c r="C7" s="7" t="s">
        <v>24</v>
      </c>
      <c r="D7" s="8">
        <v>0</v>
      </c>
    </row>
    <row r="8" spans="1:9">
      <c r="A8" s="9" t="str">
        <f t="shared" si="0"/>
        <v>Conservador-HOTELARIAS</v>
      </c>
      <c r="B8" s="9" t="s">
        <v>28</v>
      </c>
      <c r="C8" s="10" t="s">
        <v>25</v>
      </c>
      <c r="D8" s="11">
        <v>0</v>
      </c>
    </row>
    <row r="9" spans="1:9">
      <c r="A9" t="str">
        <f t="shared" si="0"/>
        <v>Moderado-PAPEL</v>
      </c>
      <c r="B9" t="s">
        <v>15</v>
      </c>
      <c r="C9" s="7" t="s">
        <v>20</v>
      </c>
      <c r="D9" s="8">
        <v>0.32</v>
      </c>
    </row>
    <row r="10" spans="1:9">
      <c r="A10" s="12" t="str">
        <f t="shared" si="0"/>
        <v>Moderado-TIJOLO</v>
      </c>
      <c r="B10" s="12" t="s">
        <v>15</v>
      </c>
      <c r="C10" s="13" t="s">
        <v>21</v>
      </c>
      <c r="D10" s="14">
        <v>0.35</v>
      </c>
    </row>
    <row r="11" spans="1:9">
      <c r="A11" t="str">
        <f t="shared" si="0"/>
        <v>Moderado-HÍBRIDOS</v>
      </c>
      <c r="B11" t="s">
        <v>15</v>
      </c>
      <c r="C11" s="7" t="s">
        <v>22</v>
      </c>
      <c r="D11" s="8">
        <v>0.08</v>
      </c>
      <c r="G11" s="2"/>
    </row>
    <row r="12" spans="1:9">
      <c r="A12" t="str">
        <f t="shared" si="0"/>
        <v>Moderado-FOFs</v>
      </c>
      <c r="B12" t="s">
        <v>15</v>
      </c>
      <c r="C12" s="7" t="s">
        <v>23</v>
      </c>
      <c r="D12" s="8">
        <v>0.05</v>
      </c>
    </row>
    <row r="13" spans="1:9">
      <c r="A13" t="str">
        <f t="shared" si="0"/>
        <v>Moderado-DESENVOLVIMENTO</v>
      </c>
      <c r="B13" t="s">
        <v>15</v>
      </c>
      <c r="C13" s="7" t="s">
        <v>24</v>
      </c>
      <c r="D13" s="8">
        <v>0.1</v>
      </c>
      <c r="G13" s="2"/>
      <c r="I13" s="2"/>
    </row>
    <row r="14" spans="1:9">
      <c r="A14" s="9" t="str">
        <f t="shared" si="0"/>
        <v>Moderado-HOTELARIAS</v>
      </c>
      <c r="B14" s="9" t="s">
        <v>15</v>
      </c>
      <c r="C14" s="10" t="s">
        <v>25</v>
      </c>
      <c r="D14" s="11">
        <v>0.1</v>
      </c>
    </row>
    <row r="15" spans="1:9">
      <c r="A15" t="str">
        <f t="shared" si="0"/>
        <v>Agressivo-PAPEL</v>
      </c>
      <c r="B15" t="s">
        <v>30</v>
      </c>
      <c r="C15" s="7" t="s">
        <v>20</v>
      </c>
      <c r="D15" s="8">
        <v>0.5</v>
      </c>
    </row>
    <row r="16" spans="1:9">
      <c r="A16" t="str">
        <f t="shared" si="0"/>
        <v>Agressivo-TIJOLO</v>
      </c>
      <c r="B16" t="s">
        <v>30</v>
      </c>
      <c r="C16" s="7" t="s">
        <v>21</v>
      </c>
      <c r="D16" s="8">
        <v>0.1</v>
      </c>
    </row>
    <row r="17" spans="1:4">
      <c r="A17" t="str">
        <f t="shared" si="0"/>
        <v>Agressivo-HÍBRIDOS</v>
      </c>
      <c r="B17" t="s">
        <v>30</v>
      </c>
      <c r="C17" s="7" t="s">
        <v>22</v>
      </c>
      <c r="D17" s="8">
        <v>0.05</v>
      </c>
    </row>
    <row r="18" spans="1:4">
      <c r="A18" t="str">
        <f t="shared" si="0"/>
        <v>Agressivo-FOFs</v>
      </c>
      <c r="B18" t="s">
        <v>30</v>
      </c>
      <c r="C18" s="7" t="s">
        <v>23</v>
      </c>
      <c r="D18" s="8">
        <v>0.05</v>
      </c>
    </row>
    <row r="19" spans="1:4">
      <c r="A19" t="str">
        <f t="shared" si="0"/>
        <v>Agressivo-DESENVOLVIMENTO</v>
      </c>
      <c r="B19" t="s">
        <v>30</v>
      </c>
      <c r="C19" s="7" t="s">
        <v>24</v>
      </c>
      <c r="D19" s="8">
        <v>0.2</v>
      </c>
    </row>
    <row r="20" spans="1:4">
      <c r="A20" t="str">
        <f t="shared" si="0"/>
        <v>Agressivo-HOTELARIAS</v>
      </c>
      <c r="B20" t="s">
        <v>30</v>
      </c>
      <c r="C20" s="7" t="s">
        <v>25</v>
      </c>
      <c r="D20" s="8">
        <v>0.1</v>
      </c>
    </row>
    <row r="38" spans="3:3">
      <c r="C3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2026-01-20T13:36:37Z</dcterms:created>
  <dcterms:modified xsi:type="dcterms:W3CDTF">2026-01-20T17:17:36Z</dcterms:modified>
  <cp:category/>
  <cp:contentStatus/>
</cp:coreProperties>
</file>